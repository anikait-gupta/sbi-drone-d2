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s" sheetId="1" state="visible" r:id="rId1"/>
  </sheets>
  <definedNames/>
  <calcPr calcId="124519" fullCalcOnLoad="1"/>
</workbook>
</file>

<file path=xl/styles.xml><?xml version="1.0" encoding="utf-8"?>
<styleSheet xmlns="http://schemas.openxmlformats.org/spreadsheetml/2006/main">
  <numFmts count="1">
    <numFmt numFmtId="164" formatCode="$#,##0.00;($#,##0.00);-"/>
  </numFmts>
  <fonts count="8">
    <font>
      <name val="Calibri"/>
      <family val="2"/>
      <color theme="1"/>
      <sz val="11"/>
      <scheme val="minor"/>
    </font>
    <font>
      <name val="Arial"/>
      <b val="1"/>
      <sz val="14"/>
    </font>
    <font>
      <name val="Arial"/>
      <i val="1"/>
      <sz val="9"/>
    </font>
    <font>
      <name val="Arial"/>
      <b val="1"/>
      <color rgb="00FFFFFF"/>
      <sz val="10"/>
    </font>
    <font>
      <name val="Arial"/>
      <sz val="10"/>
    </font>
    <font>
      <name val="Arial"/>
      <color rgb="000000FF"/>
      <sz val="10"/>
    </font>
    <font>
      <name val="Arial"/>
      <color rgb="000563C1"/>
      <sz val="10"/>
      <u val="single"/>
    </font>
    <font>
      <name val="Arial"/>
      <b val="1"/>
      <sz val="10"/>
    </font>
  </fonts>
  <fills count="5">
    <fill>
      <patternFill/>
    </fill>
    <fill>
      <patternFill patternType="gray125"/>
    </fill>
    <fill>
      <patternFill patternType="solid">
        <fgColor rgb="001F3864"/>
      </patternFill>
    </fill>
    <fill>
      <patternFill patternType="solid">
        <fgColor rgb="00FFFF00"/>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xf>
    <xf numFmtId="0" fontId="4" fillId="0" borderId="1" applyAlignment="1" pivotButton="0" quotePrefix="0" xfId="0">
      <alignment vertical="top" wrapText="1"/>
    </xf>
    <xf numFmtId="0" fontId="5" fillId="0" borderId="1" applyAlignment="1" pivotButton="0" quotePrefix="0" xfId="0">
      <alignment vertical="top"/>
    </xf>
    <xf numFmtId="164" fontId="5" fillId="0" borderId="1" applyAlignment="1" pivotButton="0" quotePrefix="0" xfId="0">
      <alignment vertical="top"/>
    </xf>
    <xf numFmtId="164" fontId="4" fillId="0" borderId="1" applyAlignment="1" pivotButton="0" quotePrefix="0" xfId="0">
      <alignment vertical="top"/>
    </xf>
    <xf numFmtId="0" fontId="6" fillId="0" borderId="1" applyAlignment="1" pivotButton="0" quotePrefix="0" xfId="0">
      <alignment vertical="top"/>
    </xf>
    <xf numFmtId="0" fontId="4" fillId="3" borderId="1" applyAlignment="1" pivotButton="0" quotePrefix="0" xfId="0">
      <alignment vertical="top" wrapText="1"/>
    </xf>
    <xf numFmtId="0" fontId="7" fillId="4" borderId="1" pivotButton="0" quotePrefix="0" xfId="0"/>
    <xf numFmtId="0" fontId="0" fillId="4" borderId="1" pivotButton="0" quotePrefix="0" xfId="0"/>
    <xf numFmtId="164" fontId="5" fillId="3" borderId="1" applyAlignment="1" pivotButton="0" quotePrefix="0" xfId="0">
      <alignment vertical="top"/>
    </xf>
    <xf numFmtId="0" fontId="7" fillId="0" borderId="0" pivotButton="0" quotePrefix="0" xfId="0"/>
    <xf numFmtId="164" fontId="7" fillId="0" borderId="1" pivotButton="0" quotePrefix="0" xfId="0"/>
    <xf numFmtId="164" fontId="5" fillId="0" borderId="1" pivotButton="0" quotePrefix="0" xfId="0"/>
    <xf numFmtId="10" fontId="5" fillId="0" borderId="1" pivotButton="0" quotePrefix="0" xfId="0"/>
    <xf numFmtId="164" fontId="5"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Claude</author>
  </authors>
  <commentList>
    <comment ref="G27" authorId="0" shapeId="0">
      <text>
        <t>Phase 1 all-in budget set by the team (2026-09-21).</t>
      </text>
    </comment>
    <comment ref="G28" authorId="0" shapeId="0">
      <text>
        <t>Assumption: Austin, TX combined rate 8.25%. Adjust if purchasing tax-exempt through the university.</t>
      </text>
    </comment>
    <comment ref="G29" authorId="0" shapeId="0">
      <text>
        <t>Fill in once carts are built. HQProp ships from China; cost not shown on page.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ybro.com/products/pixhawk-6c" TargetMode="External" Id="rId1" /><Relationship Type="http://schemas.openxmlformats.org/officeDocument/2006/relationships/hyperlink" Target="https://holybro.com/products/m10-gps" TargetMode="External" Id="rId2" /><Relationship Type="http://schemas.openxmlformats.org/officeDocument/2006/relationships/hyperlink" Target="https://www.aeromotorfpv.com/product/brotherhobby-avenger-3110-brushless-motor-cw-730kv-900kv-for-6s-m5-shaft-19x19mm-mount/" TargetMode="External" Id="rId3" /><Relationship Type="http://schemas.openxmlformats.org/officeDocument/2006/relationships/hyperlink" Target="https://www.hobbywingdirect.com/collections/xrotor-pro-esc/products/xrotor-pro-50a-esc-dual-pack" TargetMode="External" Id="rId4" /><Relationship Type="http://schemas.openxmlformats.org/officeDocument/2006/relationships/hyperlink" Target="https://hqprop.com/multi-rotor-prop-p0155.html" TargetMode="External" Id="rId5" /><Relationship Type="http://schemas.openxmlformats.org/officeDocument/2006/relationships/hyperlink" Target="https://hqprop.com/multi-rotor-pusher-prop-10x45rcw-p0300.html" TargetMode="External" Id="rId6" /><Relationship Type="http://schemas.openxmlformats.org/officeDocument/2006/relationships/hyperlink" Target="https://www.amazon.com/dp/B07C69VDV3" TargetMode="External" Id="rId7" /><Relationship Type="http://schemas.openxmlformats.org/officeDocument/2006/relationships/hyperlink" Target="https://www.amazon.com/dp/B0DNLWDTDT" TargetMode="External" Id="rId8" /><Relationship Type="http://schemas.openxmlformats.org/officeDocument/2006/relationships/hyperlink" Target="https://www.amazon.com/dp/B0CCT2WGNS" TargetMode="External" Id="rId9" /><Relationship Type="http://schemas.openxmlformats.org/officeDocument/2006/relationships/hyperlink" Target="https://www.amazon.com/dp/B0FBG4BY5X" TargetMode="External" Id="rId10" /><Relationship Type="http://schemas.openxmlformats.org/officeDocument/2006/relationships/hyperlink" Target="https://radiomasterrc.com/products/pocket-radio-controller-m2" TargetMode="External" Id="rId11" /><Relationship Type="http://schemas.openxmlformats.org/officeDocument/2006/relationships/hyperlink" Target="https://radiomasterrc.com/products/18650-3200mah-3-7v-battery-2pcs-for-tx16s-boxer-tx12-mt12-radios" TargetMode="External" Id="rId12" /><Relationship Type="http://schemas.openxmlformats.org/officeDocument/2006/relationships/hyperlink" Target="https://radiomasterrc.com/products/rp3-h-expresslrs-2-4ghz-nano-receiver" TargetMode="External" Id="rId13" /><Relationship Type="http://schemas.openxmlformats.org/officeDocument/2006/relationships/hyperlink" Target="https://amazon.com/Dupont2-54-Pre-Crimped-Connectors-Pixhawk4-Pixhawk2/dp/B087N4GY8Z" TargetMode="External" Id="rId1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32"/>
  <sheetViews>
    <sheetView showGridLines="0" workbookViewId="0">
      <pane ySplit="4" topLeftCell="A5" activePane="bottomLeft" state="frozen"/>
      <selection pane="bottomLeft" activeCell="A1" sqref="A1"/>
    </sheetView>
  </sheetViews>
  <sheetFormatPr baseColWidth="8" defaultRowHeight="15"/>
  <cols>
    <col width="4" customWidth="1" min="1" max="1"/>
    <col width="16" customWidth="1" min="2" max="2"/>
    <col width="46" customWidth="1" min="3" max="3"/>
    <col width="17" customWidth="1" min="4" max="4"/>
    <col width="6" customWidth="1" min="5" max="5"/>
    <col width="11" customWidth="1" min="6" max="6"/>
    <col width="12" customWidth="1" min="7" max="7"/>
    <col width="7" customWidth="1" min="8" max="8"/>
    <col width="48" customWidth="1" min="9" max="9"/>
    <col width="80" customWidth="1" min="10" max="10"/>
  </cols>
  <sheetData>
    <row r="1">
      <c r="A1" s="1" t="inlineStr">
        <is>
          <t>SBI UT Club Drone - Phase 1 Parts List</t>
        </is>
      </c>
    </row>
    <row r="2">
      <c r="A2" s="2" t="inlineStr">
        <is>
          <t>Prices and stock verified on vendor pages 2026-09-30. Blue = input; yellow = to fill in / decide.</t>
        </is>
      </c>
    </row>
    <row r="4">
      <c r="A4" s="3" t="inlineStr">
        <is>
          <t>#</t>
        </is>
      </c>
      <c r="B4" s="3" t="inlineStr">
        <is>
          <t>Category</t>
        </is>
      </c>
      <c r="C4" s="3" t="inlineStr">
        <is>
          <t>Item</t>
        </is>
      </c>
      <c r="D4" s="3" t="inlineStr">
        <is>
          <t>Vendor</t>
        </is>
      </c>
      <c r="E4" s="3" t="inlineStr">
        <is>
          <t>Qty</t>
        </is>
      </c>
      <c r="F4" s="3" t="inlineStr">
        <is>
          <t>Unit price</t>
        </is>
      </c>
      <c r="G4" s="3" t="inlineStr">
        <is>
          <t>Line total</t>
        </is>
      </c>
      <c r="H4" s="3" t="inlineStr">
        <is>
          <t>Link</t>
        </is>
      </c>
      <c r="I4" s="3" t="inlineStr">
        <is>
          <t>Notes / status</t>
        </is>
      </c>
      <c r="J4" s="3" t="inlineStr">
        <is>
          <t>Justification</t>
        </is>
      </c>
    </row>
    <row r="5">
      <c r="A5" s="4" t="n">
        <v>1</v>
      </c>
      <c r="B5" s="4" t="inlineStr">
        <is>
          <t>Flight controller</t>
        </is>
      </c>
      <c r="C5" s="5" t="inlineStr">
        <is>
          <t>Pixhawk 6C Plastic + PM07 (SKU 11054+15008)</t>
        </is>
      </c>
      <c r="D5" s="4" t="inlineStr">
        <is>
          <t>Holybro</t>
        </is>
      </c>
      <c r="E5" s="6" t="n">
        <v>1</v>
      </c>
      <c r="F5" s="7" t="n">
        <v>242.99</v>
      </c>
      <c r="G5" s="8">
        <f>E5*F5</f>
        <v/>
      </c>
      <c r="H5" s="9" t="inlineStr">
        <is>
          <t>Open</t>
        </is>
      </c>
      <c r="I5" s="5" t="inlineStr">
        <is>
          <t>Price rose from $209.98. PM07 doubles as PDB.</t>
        </is>
      </c>
      <c r="J5" s="5" t="inlineStr">
        <is>
          <t>Runs ArduPilot, which gives us the autonomous waypoint missions and return-to-launch on lost link that Anikait asked for. Two redundant IMUs, both temperature-controlled and vibration-isolated. Spare ports (TELEM1/2, GPS2, CAN) leave room for the Phase 2 companion computer, rangefinder and RTK without changing boards. The PM07 reads battery voltage/current for the low-battery failsafe and doubles as the power distribution board (rated 2-12S), so no separate PDB. Plastic case is the lighter 6C version (34.6 g vs 59.3 g aluminum).</t>
        </is>
      </c>
    </row>
    <row r="6">
      <c r="A6" s="4" t="n">
        <v>2</v>
      </c>
      <c r="B6" s="4" t="inlineStr">
        <is>
          <t>Flight controller</t>
        </is>
      </c>
      <c r="C6" s="5" t="inlineStr">
        <is>
          <t>M10 GPS, IST8310, Standard 10-pin (SKU 12040)</t>
        </is>
      </c>
      <c r="D6" s="4" t="inlineStr">
        <is>
          <t>Holybro</t>
        </is>
      </c>
      <c r="E6" s="6" t="n">
        <v>1</v>
      </c>
      <c r="F6" s="7" t="n">
        <v>43.99</v>
      </c>
      <c r="G6" s="8">
        <f>E6*F6</f>
        <v/>
      </c>
      <c r="H6" s="9" t="inlineStr">
        <is>
          <t>Open</t>
        </is>
      </c>
      <c r="I6" s="5" t="inlineStr">
        <is>
          <t>Includes carbon GPS mount.</t>
        </is>
      </c>
      <c r="J6" s="5" t="inlineStr">
        <is>
          <t>GPS is required for position hold, waypoint missions and return-to-launch. The IST8310 compass sits on the mast, away from motor and battery current, so heading is cleaner than with the FC's internal compass. Same vendor and standard 10-pin plug as the 6C, so it plugs into GPS1 with no cable work. RTK was 'if budget allows'; GPS2 stays free for it later.</t>
        </is>
      </c>
    </row>
    <row r="7">
      <c r="A7" s="4" t="n">
        <v>3</v>
      </c>
      <c r="B7" s="4" t="inlineStr">
        <is>
          <t>Propulsion</t>
        </is>
      </c>
      <c r="C7" s="5" t="inlineStr">
        <is>
          <t>BrotherHobby Avenger 3110 730KV (select 730)</t>
        </is>
      </c>
      <c r="D7" s="4" t="inlineStr">
        <is>
          <t>AeromotorFPV</t>
        </is>
      </c>
      <c r="E7" s="6" t="n">
        <v>5</v>
      </c>
      <c r="F7" s="7" t="n">
        <v>29.5</v>
      </c>
      <c r="G7" s="8">
        <f>E7*F7</f>
        <v/>
      </c>
      <c r="H7" s="9" t="inlineStr">
        <is>
          <t>Open</t>
        </is>
      </c>
      <c r="I7" s="5" t="inlineStr">
        <is>
          <t>4 + 1 spare. Sale price ($59 list).</t>
        </is>
      </c>
      <c r="J7" s="5" t="inlineStr">
        <is>
          <t>Sized for Phase 2 weight, not just Phase 1: at ~2.2-2.5 kg all-up we need ~1.1-1.25 kg max thrust per motor for a 2:1 thrust-to-weight ratio. Vendor test shows 3017 gf peak (on a 10x5 tri-blade), so there is margin even with our lighter-loading 2-blade prop. 730 KV is the right speed for 10" props on 6S (the 900 KV version is meant for 8-9" props). T-Motor MN3110 rejected as an unneeded premium for Phase 1. Fifth motor is a spare so one bad motor doesn't ground the drone.</t>
        </is>
      </c>
    </row>
    <row r="8">
      <c r="A8" s="4" t="n">
        <v>4</v>
      </c>
      <c r="B8" s="4" t="inlineStr">
        <is>
          <t>Propulsion</t>
        </is>
      </c>
      <c r="C8" s="5" t="inlineStr">
        <is>
          <t>Hobbywing XRotor PRO 50A wire-leaded ESC (dual pack)</t>
        </is>
      </c>
      <c r="D8" s="4" t="inlineStr">
        <is>
          <t>Hobbywing Direct</t>
        </is>
      </c>
      <c r="E8" s="6" t="n">
        <v>2</v>
      </c>
      <c r="F8" s="7" t="n">
        <v>74.98999999999999</v>
      </c>
      <c r="G8" s="8">
        <f>E8*F8</f>
        <v/>
      </c>
      <c r="H8" s="9" t="inlineStr">
        <is>
          <t>Open</t>
        </is>
      </c>
      <c r="I8" s="5" t="inlineStr">
        <is>
          <t>4-6S, 3.5 mm bullets on motor side, no BEC.</t>
        </is>
      </c>
      <c r="J8" s="5" t="inlineStr">
        <is>
          <t>Four separate ESCs rather than a 4-in-1 board (team decision): a failed ESC is one cheap swap, not a whole board. 50 A continuous / 100 A peak gives headroom over the motor's 37.6 A max; 40 A ESCs were too tight at full throttle. Rated 4-6S. Motor side ships with 3.5 mm bullets (less soldering), and a DIP switch sets spin direction, so all five motors can be the same part. Standard PWM input works with ArduPilot on the 6C. No BEC needed because the PM07 powers the FC.</t>
        </is>
      </c>
    </row>
    <row r="9">
      <c r="A9" s="4" t="n">
        <v>5</v>
      </c>
      <c r="B9" s="4" t="inlineStr">
        <is>
          <t>Propulsion</t>
        </is>
      </c>
      <c r="C9" s="5" t="inlineStr">
        <is>
          <t>HQProp MR 10x4.5 CCW (single prop)</t>
        </is>
      </c>
      <c r="D9" s="4" t="inlineStr">
        <is>
          <t>HQProp</t>
        </is>
      </c>
      <c r="E9" s="6" t="n">
        <v>6</v>
      </c>
      <c r="F9" s="7" t="n">
        <v>2.91</v>
      </c>
      <c r="G9" s="8">
        <f>E9*F9</f>
        <v/>
      </c>
      <c r="H9" s="9" t="inlineStr">
        <is>
          <t>Open</t>
        </is>
      </c>
      <c r="I9" s="5" t="inlineStr">
        <is>
          <t>Ships from China; shipping not shown. GetFPV out of stock.</t>
        </is>
      </c>
      <c r="J9" s="5" t="inlineStr">
        <is>
          <t>10" diameter matches the 730 KV / 6S motors and the 450-500 mm frame. Glass-fiber reinforced nylon is cheap and more forgiving in crashes than carbon; carbon props are deferred to Phase 2 benchmarking. A quad X needs 2 CCW + 2 CW per set, so 6 of each = 3 full sets, since props are the most common crash casualty. 5 mm ring fits the Avenger's M5 shaft. Bought direct because GetFPV is out of stock.</t>
        </is>
      </c>
    </row>
    <row r="10">
      <c r="A10" s="4" t="n">
        <v>6</v>
      </c>
      <c r="B10" s="4" t="inlineStr">
        <is>
          <t>Propulsion</t>
        </is>
      </c>
      <c r="C10" s="5" t="inlineStr">
        <is>
          <t>HQProp MR 10x4.5R CW (single prop)</t>
        </is>
      </c>
      <c r="D10" s="4" t="inlineStr">
        <is>
          <t>HQProp</t>
        </is>
      </c>
      <c r="E10" s="6" t="n">
        <v>6</v>
      </c>
      <c r="F10" s="7" t="n">
        <v>2.91</v>
      </c>
      <c r="G10" s="8">
        <f>E10*F10</f>
        <v/>
      </c>
      <c r="H10" s="9" t="inlineStr">
        <is>
          <t>Open</t>
        </is>
      </c>
      <c r="I10" s="5" t="inlineStr">
        <is>
          <t>Ships from China; 5 mm ring included.</t>
        </is>
      </c>
      <c r="J10" s="5" t="inlineStr">
        <is>
          <t>CW half of each prop set (see #5). A quad X spins two motors each way so their torques cancel, which is what lets the FC control yaw.</t>
        </is>
      </c>
    </row>
    <row r="11">
      <c r="A11" s="4" t="n">
        <v>7</v>
      </c>
      <c r="B11" s="4" t="inlineStr">
        <is>
          <t>Propulsion</t>
        </is>
      </c>
      <c r="C11" s="5" t="inlineStr">
        <is>
          <t>JFtech 3.5 mm gold bullets, 20 pairs + heat shrink</t>
        </is>
      </c>
      <c r="D11" s="4" t="inlineStr">
        <is>
          <t>Amazon</t>
        </is>
      </c>
      <c r="E11" s="6" t="n">
        <v>1</v>
      </c>
      <c r="F11" s="7" t="n">
        <v>7.99</v>
      </c>
      <c r="G11" s="8">
        <f>E11*F11</f>
        <v/>
      </c>
      <c r="H11" s="9" t="inlineStr">
        <is>
          <t>Open</t>
        </is>
      </c>
      <c r="I11" s="5" t="inlineStr">
        <is>
          <t>Males go on bare Avenger motor leads.</t>
        </is>
      </c>
      <c r="J11" s="5" t="inlineStr">
        <is>
          <t>Avenger motors ship with bare leads; the ESCs already have 3.5 mm bullets. Putting matching bullets on the 15 motor leads (5 motors x 3) makes motors plug-and-unplug, so a bad motor is swapped without desoldering. 20 pairs covers that with spares, and the heat shrink insulates each joint.</t>
        </is>
      </c>
    </row>
    <row r="12">
      <c r="A12" s="4" t="n">
        <v>8</v>
      </c>
      <c r="B12" s="4" t="inlineStr">
        <is>
          <t>Power</t>
        </is>
      </c>
      <c r="C12" s="5" t="inlineStr">
        <is>
          <t>OVONIC 6S 5000mAh 130C XT60 (2-pack)</t>
        </is>
      </c>
      <c r="D12" s="4" t="inlineStr">
        <is>
          <t>Amazon</t>
        </is>
      </c>
      <c r="E12" s="6" t="n">
        <v>1</v>
      </c>
      <c r="F12" s="7" t="n">
        <v>110.99</v>
      </c>
      <c r="G12" s="8">
        <f>E12*F12</f>
        <v/>
      </c>
      <c r="H12" s="9" t="inlineStr">
        <is>
          <t>Open</t>
        </is>
      </c>
      <c r="I12" s="10" t="inlineStr">
        <is>
          <t>PENDING OK: replaces CNHL (out of US stock). XT60 = no adapter.</t>
        </is>
      </c>
      <c r="J12" s="5" t="inlineStr">
        <is>
          <t>6S matches the 730 KV motors: higher voltage means less current for the same power, so less heat in the ESCs and wiring. XT60 plugs straight into the PM07, so no adapter (one less joint to loosen or heat up). 130C is far above our peak draw (~150 A, four motors at 37.6 A). The 2-pack works out to $55.50 per pack, about what one CNHL cost, and the second pack doubles flight time per test session since a recharge takes ~2 h.</t>
        </is>
      </c>
    </row>
    <row r="13">
      <c r="A13" s="4" t="n">
        <v>9</v>
      </c>
      <c r="B13" s="4" t="inlineStr">
        <is>
          <t>Charging</t>
        </is>
      </c>
      <c r="C13" s="5" t="inlineStr">
        <is>
          <t>SkyRC B6 Neo charger</t>
        </is>
      </c>
      <c r="D13" s="4" t="inlineStr">
        <is>
          <t>Amazon</t>
        </is>
      </c>
      <c r="E13" s="6" t="n">
        <v>1</v>
      </c>
      <c r="F13" s="7" t="n">
        <v>37.5</v>
      </c>
      <c r="G13" s="8">
        <f>E13*F13</f>
        <v/>
      </c>
      <c r="H13" s="9" t="inlineStr">
        <is>
          <t>Open</t>
        </is>
      </c>
      <c r="I13" s="5" t="inlineStr">
        <is>
          <t>Sold by YEERSINS, ships from Amazon.</t>
        </is>
      </c>
      <c r="J13" s="5" t="inlineStr">
        <is>
          <t>LiPos have to be balance charged on a proper hobby charger. The B6 Neo does 1-6S balance charging plus storage-voltage mode, which extends pack life between test days, and it's one of the cheapest 6S-capable chargers. Runs from USB-C PD (80 W, ~3 A, ~1.7-2 h per pack) or a DC supply up to 200 W if we want faster charging later.</t>
        </is>
      </c>
    </row>
    <row r="14">
      <c r="A14" s="4" t="n">
        <v>10</v>
      </c>
      <c r="B14" s="4" t="inlineStr">
        <is>
          <t>Charging</t>
        </is>
      </c>
      <c r="C14" s="5" t="inlineStr">
        <is>
          <t>VUOHOEG 100W USB-C PD charger (built-in cable)</t>
        </is>
      </c>
      <c r="D14" s="4" t="inlineStr">
        <is>
          <t>Amazon</t>
        </is>
      </c>
      <c r="E14" s="6" t="n">
        <v>1</v>
      </c>
      <c r="F14" s="7" t="n">
        <v>18.89</v>
      </c>
      <c r="G14" s="8">
        <f>E14*F14</f>
        <v/>
      </c>
      <c r="H14" s="9" t="inlineStr">
        <is>
          <t>Open</t>
        </is>
      </c>
      <c r="I14" s="5" t="inlineStr">
        <is>
          <t>Powers B6 Neo at 80W via USB-C.</t>
        </is>
      </c>
      <c r="J14" s="5" t="inlineStr">
        <is>
          <t>The B6 Neo has no built-in AC power; it needs a 100 W (20 V / 5 A) USB-C PD source or a DC supply. This is the cheapest working option and its cable is built in and 5 A rated, so no separate 5 A cable to buy. A 24 V DC supply (~$30) would charge faster but isn't needed yet. Unbranded, but 4.3 stars over 692 reviews.</t>
        </is>
      </c>
    </row>
    <row r="15">
      <c r="A15" s="4" t="n">
        <v>11</v>
      </c>
      <c r="B15" s="4" t="inlineStr">
        <is>
          <t>RC link</t>
        </is>
      </c>
      <c r="C15" s="5" t="inlineStr">
        <is>
          <t>RadioMaster Pocket, Charcoal / ELRS / FCC (M2)</t>
        </is>
      </c>
      <c r="D15" s="4" t="inlineStr">
        <is>
          <t>RadioMaster</t>
        </is>
      </c>
      <c r="E15" s="6" t="n">
        <v>1</v>
      </c>
      <c r="F15" s="7" t="n">
        <v>71.5</v>
      </c>
      <c r="G15" s="8">
        <f>E15*F15</f>
        <v/>
      </c>
      <c r="H15" s="9" t="inlineStr">
        <is>
          <t>Open</t>
        </is>
      </c>
      <c r="I15" s="5" t="inlineStr">
        <is>
          <t>Batteries not included.</t>
        </is>
      </c>
      <c r="J15" s="5" t="inlineStr">
        <is>
          <t>A handheld radio is needed for manual takeoff/landing while tuning and as the safety pilot's override during autonomous flights; nobody on the team owns one. ELRS 2.4 GHz has long range, low latency and sends telemetry (link quality, battery voltage) back to the radio. The Pocket is one of the cheapest full EdgeTX radios. FCC version for US use; Mode 2 is the standard US stick layout. FlySky i6X rejected: no telemetry and shorter range.</t>
        </is>
      </c>
    </row>
    <row r="16">
      <c r="A16" s="4" t="n">
        <v>12</v>
      </c>
      <c r="B16" s="4" t="inlineStr">
        <is>
          <t>RC link</t>
        </is>
      </c>
      <c r="C16" s="5" t="inlineStr">
        <is>
          <t>RadioMaster 18650 3200mAh (2 pcs)</t>
        </is>
      </c>
      <c r="D16" s="4" t="inlineStr">
        <is>
          <t>RadioMaster</t>
        </is>
      </c>
      <c r="E16" s="6" t="n">
        <v>1</v>
      </c>
      <c r="F16" s="7" t="n">
        <v>11.99</v>
      </c>
      <c r="G16" s="8">
        <f>E16*F16</f>
        <v/>
      </c>
      <c r="H16" s="9" t="inlineStr">
        <is>
          <t>Open</t>
        </is>
      </c>
      <c r="I16" s="5" t="inlineStr">
        <is>
          <t>Must be bought in same order as radio.</t>
        </is>
      </c>
      <c r="J16" s="5" t="inlineStr">
        <is>
          <t>The Pocket runs on 2x 18650 cells that aren't included. RadioMaster's own cells are made for its radios, and ordering them with the Pocket and RP3-H keeps it to one shipment.</t>
        </is>
      </c>
    </row>
    <row r="17">
      <c r="A17" s="4" t="n">
        <v>13</v>
      </c>
      <c r="B17" s="4" t="inlineStr">
        <is>
          <t>RC link</t>
        </is>
      </c>
      <c r="C17" s="5" t="inlineStr">
        <is>
          <t>RadioMaster RP3-H receiver (FCC)</t>
        </is>
      </c>
      <c r="D17" s="4" t="inlineStr">
        <is>
          <t>RadioMaster</t>
        </is>
      </c>
      <c r="E17" s="6" t="n">
        <v>1</v>
      </c>
      <c r="F17" s="7" t="n">
        <v>19.99</v>
      </c>
      <c r="G17" s="8">
        <f>E17*F17</f>
        <v/>
      </c>
      <c r="H17" s="9" t="inlineStr">
        <is>
          <t>Open</t>
        </is>
      </c>
      <c r="I17" s="5" t="inlineStr">
        <is>
          <t>JST-GH 4-pin cables included.</t>
        </is>
      </c>
      <c r="J17" s="5" t="inlineStr">
        <is>
          <t>ELRS receiver that pairs with the Pocket. One serial (CRSF) cable to TELEM3 carries both stick inputs and telemetry, and ArduPilot supports it natively; losing the link triggers the RC failsafe (RTL). Two diversity antennas for a steadier link than single-antenna receivers, 100 mW telemetry, 5.1 g.</t>
        </is>
      </c>
    </row>
    <row r="18">
      <c r="A18" s="4" t="n">
        <v>14</v>
      </c>
      <c r="B18" s="4" t="inlineStr">
        <is>
          <t>RC link</t>
        </is>
      </c>
      <c r="C18" s="5" t="inlineStr">
        <is>
          <t>elechawk GH1.25 to Dupont pre-crimped cable kit</t>
        </is>
      </c>
      <c r="D18" s="4" t="inlineStr">
        <is>
          <t>Amazon</t>
        </is>
      </c>
      <c r="E18" s="6" t="n">
        <v>1</v>
      </c>
      <c r="F18" s="7" t="n">
        <v>20.99</v>
      </c>
      <c r="G18" s="8">
        <f>E18*F18</f>
        <v/>
      </c>
      <c r="H18" s="9" t="inlineStr">
        <is>
          <t>Open</t>
        </is>
      </c>
      <c r="I18" s="5" t="inlineStr">
        <is>
          <t>Build 6-pin GH cable to TELEM port.</t>
        </is>
      </c>
      <c r="J18" s="5" t="inlineStr">
        <is>
          <t>The RP3-H comes with 4-pin JST-GH cables, but the 6C's TELEM ports are 6-pin JST-GH. Pre-crimped GH wires and housings let us build the right 6-pin cable without a crimping tool. Leftovers cover Phase 2 wiring (companion computer on TELEM2, rangefinder).</t>
        </is>
      </c>
    </row>
    <row r="19">
      <c r="A19" s="11" t="inlineStr">
        <is>
          <t>Still to price (fill in when quoted)</t>
        </is>
      </c>
      <c r="B19" s="12" t="n"/>
      <c r="C19" s="12" t="n"/>
      <c r="D19" s="12" t="n"/>
      <c r="E19" s="12" t="n"/>
      <c r="F19" s="12" t="n"/>
      <c r="G19" s="12" t="n"/>
      <c r="H19" s="12" t="n"/>
      <c r="I19" s="12" t="n"/>
      <c r="J19" s="12" t="n"/>
    </row>
    <row r="20">
      <c r="A20" s="4" t="n">
        <v>15</v>
      </c>
      <c r="B20" s="4" t="inlineStr">
        <is>
          <t>Frame</t>
        </is>
      </c>
      <c r="C20" s="5" t="inlineStr">
        <is>
          <t>CNC carbon frame (CNC Madness quote)</t>
        </is>
      </c>
      <c r="D20" s="4" t="inlineStr">
        <is>
          <t>CNC Madness</t>
        </is>
      </c>
      <c r="E20" s="6" t="n">
        <v>1</v>
      </c>
      <c r="F20" s="13" t="n"/>
      <c r="G20" s="8">
        <f>E20*F20</f>
        <v/>
      </c>
      <c r="H20" s="4" t="inlineStr"/>
      <c r="I20" s="5" t="inlineStr">
        <is>
          <t>Needs CAD; ~450-500 mm class.</t>
        </is>
      </c>
      <c r="J20" s="5" t="inlineStr">
        <is>
          <t>Team chose a custom frame over off-the-shelf kits (S500/X500) so it can be laid out for the Phase 2 payload mount and compute bay from the start. CNC carbon plate is stiff and light, and a ~450-500 mm wheelbase clears 10" props. CNC Madness turns quotes around quickly, so the price comes once CAD is done.</t>
        </is>
      </c>
    </row>
    <row r="21">
      <c r="A21" s="4" t="n">
        <v>16</v>
      </c>
      <c r="B21" s="4" t="inlineStr">
        <is>
          <t>Hardware</t>
        </is>
      </c>
      <c r="C21" s="5" t="inlineStr">
        <is>
          <t>McMaster hardware (M3 standoffs/screws, M5 nyloc nuts, etc.)</t>
        </is>
      </c>
      <c r="D21" s="4" t="inlineStr">
        <is>
          <t>McMaster-Carr</t>
        </is>
      </c>
      <c r="E21" s="6" t="n">
        <v>1</v>
      </c>
      <c r="F21" s="13" t="n"/>
      <c r="G21" s="8">
        <f>E21*F21</f>
        <v/>
      </c>
      <c r="H21" s="4" t="inlineStr"/>
      <c r="I21" s="5" t="inlineStr">
        <is>
          <t>Depends on frame design.</t>
        </is>
      </c>
      <c r="J21" s="5" t="inlineStr">
        <is>
          <t>Fasteners and standoffs to assemble the frame and mount the electronics, plus spare M5 nyloc nuts for the props (nyloc won't vibrate loose). McMaster lists exact dimensions and ships fast; quantities get set once the CAD is final.</t>
        </is>
      </c>
    </row>
    <row r="22">
      <c r="A22" s="4" t="n">
        <v>17</v>
      </c>
      <c r="B22" s="4" t="inlineStr">
        <is>
          <t>Misc</t>
        </is>
      </c>
      <c r="C22" s="5" t="inlineStr">
        <is>
          <t>LiPo safety bag</t>
        </is>
      </c>
      <c r="D22" s="4" t="inlineStr"/>
      <c r="E22" s="6" t="n">
        <v>1</v>
      </c>
      <c r="F22" s="13" t="n"/>
      <c r="G22" s="8">
        <f>E22*F22</f>
        <v/>
      </c>
      <c r="H22" s="4" t="inlineStr"/>
      <c r="I22" s="5" t="inlineStr">
        <is>
          <t>If club has none.</t>
        </is>
      </c>
      <c r="J22" s="5" t="inlineStr">
        <is>
          <t>Damaged or overcharged LiPos can catch fire. Charging and storing packs in a fire-resistant bag is standard practice, and we will have two 6S packs in a shared campus lab. Skip if the club already has one.</t>
        </is>
      </c>
    </row>
    <row r="23">
      <c r="A23" s="4" t="n">
        <v>18</v>
      </c>
      <c r="B23" s="4" t="inlineStr">
        <is>
          <t>Misc</t>
        </is>
      </c>
      <c r="C23" s="5" t="inlineStr">
        <is>
          <t>microSD card (&lt;=32 GB) for flight logs</t>
        </is>
      </c>
      <c r="D23" s="4" t="inlineStr"/>
      <c r="E23" s="6" t="n">
        <v>1</v>
      </c>
      <c r="F23" s="13" t="n"/>
      <c r="G23" s="8">
        <f>E23*F23</f>
        <v/>
      </c>
      <c r="H23" s="4" t="inlineStr"/>
      <c r="I23" s="5" t="inlineStr">
        <is>
          <t>Not listed in 6C box contents.</t>
        </is>
      </c>
      <c r="J23" s="5" t="inlineStr">
        <is>
          <t>ArduPilot writes its flight logs to this card; we need them to tune PIDs, check vibration and work out what went wrong after a crash. The 6C box contents don't list a card. 32 GB or smaller ships formatted FAT32, which the FC reads without reformatting.</t>
        </is>
      </c>
    </row>
    <row r="25">
      <c r="E25" s="14" t="inlineStr">
        <is>
          <t>Verified subtotal</t>
        </is>
      </c>
      <c r="G25" s="15">
        <f>SUM(G5:G18)</f>
        <v/>
      </c>
    </row>
    <row r="26">
      <c r="E26" s="14" t="inlineStr">
        <is>
          <t>Still-to-price subtotal</t>
        </is>
      </c>
      <c r="G26" s="15">
        <f>SUM(G20:G23)</f>
        <v/>
      </c>
    </row>
    <row r="27">
      <c r="E27" s="14" t="inlineStr">
        <is>
          <t>Budget</t>
        </is>
      </c>
      <c r="G27" s="16" t="n">
        <v>1300</v>
      </c>
    </row>
    <row r="28">
      <c r="E28" s="14" t="inlineStr">
        <is>
          <t>Est. sales tax rate</t>
        </is>
      </c>
      <c r="G28" s="17" t="n">
        <v>0.0825</v>
      </c>
    </row>
    <row r="29">
      <c r="E29" s="14" t="inlineStr">
        <is>
          <t>Est. shipping (all vendors)</t>
        </is>
      </c>
      <c r="G29" s="18" t="n">
        <v>0</v>
      </c>
    </row>
    <row r="30">
      <c r="E30" s="14" t="inlineStr">
        <is>
          <t>Est. tax</t>
        </is>
      </c>
      <c r="G30" s="15">
        <f>(G25+G26)*G28</f>
        <v/>
      </c>
    </row>
    <row r="31">
      <c r="E31" s="14" t="inlineStr">
        <is>
          <t>Est. grand total</t>
        </is>
      </c>
      <c r="G31" s="15">
        <f>G25+G26+G30+G29</f>
        <v/>
      </c>
    </row>
    <row r="32">
      <c r="E32" s="14" t="inlineStr">
        <is>
          <t>Remaining budget</t>
        </is>
      </c>
      <c r="G32" s="15">
        <f>G27-G31</f>
        <v/>
      </c>
    </row>
  </sheetData>
  <mergeCells count="8">
    <mergeCell ref="E30:F30"/>
    <mergeCell ref="E29:F29"/>
    <mergeCell ref="E32:F32"/>
    <mergeCell ref="E25:F25"/>
    <mergeCell ref="E27:F27"/>
    <mergeCell ref="E28:F28"/>
    <mergeCell ref="E26:F26"/>
    <mergeCell ref="E31:F3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2026-09-30T23:32:45Z</dcterms:created>
  <dcterms:modified xsi:type="dcterms:W3CDTF">2026-10-01T00:42:35Z</dcterms:modified>
</cp:coreProperties>
</file>